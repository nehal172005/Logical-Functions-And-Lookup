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itya Agrawal\Downloads\"/>
    </mc:Choice>
  </mc:AlternateContent>
  <xr:revisionPtr revIDLastSave="0" documentId="13_ncr:1_{EA9F449C-FA71-4C95-899D-BB8B377294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</workbook>
</file>

<file path=xl/calcChain.xml><?xml version="1.0" encoding="utf-8"?>
<calcChain xmlns="http://schemas.openxmlformats.org/spreadsheetml/2006/main">
  <c r="D16" i="8" l="1" a="1"/>
  <c r="D16" i="8" s="1"/>
  <c r="E15" i="7" a="1"/>
  <c r="E15" i="7" s="1"/>
  <c r="G20" i="6"/>
  <c r="G19" i="6"/>
  <c r="G18" i="6"/>
  <c r="E19" i="5"/>
  <c r="H18" i="4"/>
  <c r="E23" i="3"/>
  <c r="E22" i="3"/>
  <c r="E21" i="3"/>
  <c r="E20" i="3"/>
  <c r="E19" i="3"/>
  <c r="F20" i="2"/>
  <c r="F19" i="2"/>
  <c r="F18" i="2"/>
  <c r="F17" i="2"/>
  <c r="E22" i="1"/>
  <c r="E21" i="1"/>
  <c r="E20" i="1"/>
  <c r="E19" i="1"/>
  <c r="E18" i="1"/>
</calcChain>
</file>

<file path=xl/sharedStrings.xml><?xml version="1.0" encoding="utf-8"?>
<sst xmlns="http://schemas.openxmlformats.org/spreadsheetml/2006/main" count="155" uniqueCount="81">
  <si>
    <t>ASSIGNMENT</t>
  </si>
  <si>
    <t>: Logical Functions And Lookup</t>
  </si>
  <si>
    <t>QUESTION 1 )</t>
  </si>
  <si>
    <t>Wrie a formula to check if maeks in cell are greater than or equal to 40 . If yes , return " Pass " , otherwise " Fail " .</t>
  </si>
  <si>
    <t>if marks in</t>
  </si>
  <si>
    <t>cell are greater than or equal to 40 . If yes return "Pass" otherwise "Fail" .</t>
  </si>
  <si>
    <t>Student Name</t>
  </si>
  <si>
    <t>Marks</t>
  </si>
  <si>
    <t>Riya</t>
  </si>
  <si>
    <t>Siya</t>
  </si>
  <si>
    <t>Raju</t>
  </si>
  <si>
    <t>Rahul</t>
  </si>
  <si>
    <t>Ram</t>
  </si>
  <si>
    <t xml:space="preserve">ANSWER </t>
  </si>
  <si>
    <t>Result</t>
  </si>
  <si>
    <t>FORMULA USED - =If(D18&gt;=40,"Pass","Fail")</t>
  </si>
  <si>
    <t xml:space="preserve">QUESTION 2) </t>
  </si>
  <si>
    <t>A company gives a bonus if the sales are above 40000 and attendance is greater than or equal to 90%. write a formula to calculate whether an employee will get a bonus or not .</t>
  </si>
  <si>
    <t>Employee</t>
  </si>
  <si>
    <t>Sales</t>
  </si>
  <si>
    <t>Attendance</t>
  </si>
  <si>
    <t>Arjun</t>
  </si>
  <si>
    <t>simran</t>
  </si>
  <si>
    <t>Rohit</t>
  </si>
  <si>
    <t>Anjali</t>
  </si>
  <si>
    <t>ANSWER</t>
  </si>
  <si>
    <t>QUESTION 3)</t>
  </si>
  <si>
    <t>Write a nested If formula:</t>
  </si>
  <si>
    <t xml:space="preserve">   If marks  are ≥ 90 →A, ≥ 75 →B , ≥ 50 → C , otherwise . "Fail"
</t>
  </si>
  <si>
    <t>Raj</t>
  </si>
  <si>
    <t>Neha</t>
  </si>
  <si>
    <t>vivek</t>
  </si>
  <si>
    <t>Rani</t>
  </si>
  <si>
    <t>Sneha</t>
  </si>
  <si>
    <t>QUESTION 4)</t>
  </si>
  <si>
    <t>Find the Department of Employee ID = E103. Also explain which LOOKUP function is used and why?</t>
  </si>
  <si>
    <t>Employee 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</si>
  <si>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</si>
  <si>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</si>
  <si>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</si>
  <si>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</si>
  <si>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</si>
  <si>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</si>
  <si>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</si>
  <si>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</si>
  <si>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</si>
  <si>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</si>
  <si>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</si>
  <si>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sales</t>
  </si>
  <si>
    <t>ANSWER IS:</t>
  </si>
  <si>
    <t>EXPLAINATION:</t>
  </si>
  <si>
    <t>Here the VLOOKUP Function is used because Employee ID is in the First(Leftmost)column of data range and this function is built specially to search down left most column</t>
  </si>
  <si>
    <t>and we want to return data (Department ) from another column in the same row</t>
  </si>
  <si>
    <t>QUESTION 5)</t>
  </si>
  <si>
    <t>company has set the following commission structure for its sales team:</t>
  </si>
  <si>
    <t>Sales Amount</t>
  </si>
  <si>
    <t>Commision Rate</t>
  </si>
  <si>
    <t>If a salesperson achieves sales of ₹45,000, use the VLOOKUP function to determine the commission rate</t>
  </si>
  <si>
    <t>applicable</t>
  </si>
  <si>
    <t>Approximate match VLOOKUP is used because Commision is based on sales range</t>
  </si>
  <si>
    <t>QUESTION 6)</t>
  </si>
  <si>
    <t xml:space="preserve">The HR department maintains the following leave records of employees:onus or not .
</t>
  </si>
  <si>
    <t>Employee name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</si>
  <si>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</si>
  <si>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</si>
  <si>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</si>
  <si>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</si>
  <si>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</si>
  <si>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balance.</t>
  </si>
  <si>
    <t>If Leaves Taken &gt; Allowed Leaves, display "Exceeded".</t>
  </si>
  <si>
    <t>Otherwise, display "OK".</t>
  </si>
  <si>
    <t>QUESTION 7)</t>
  </si>
  <si>
    <t>Find the salary of EmpID = E105 using INDEX-MATCH Function.</t>
  </si>
  <si>
    <t>Emp ID</t>
  </si>
  <si>
    <t>Salary</t>
  </si>
  <si>
    <t>E105</t>
  </si>
  <si>
    <t>E106</t>
  </si>
  <si>
    <t>QUESTION 8)</t>
  </si>
  <si>
    <t>U se the XLOOKUP function to find the Department of the employee with Emp ID = E303.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</si>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</sst>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28"/>
      <color theme="1"/>
      <name val="Arial"/>
      <scheme val="minor"/>
    </font>
    <font>
      <sz val="10"/>
      <color theme="1"/>
      <name val="Arial"/>
      <scheme val="minor"/>
    </font>
    <font>
      <sz val="13"/>
      <color theme="1"/>
      <name val="Arial"/>
      <scheme val="minor"/>
    </font>
    <font>
      <sz val="13"/>
      <color rgb="FF000000"/>
      <name val="Arial"/>
      <scheme val="minor"/>
    </font>
    <font>
      <sz val="12"/>
      <color theme="1"/>
      <name val="Arial"/>
      <scheme val="minor"/>
    </font>
    <font>
      <sz val="9"/>
      <color rgb="FF000000"/>
      <name val="&quot;Google Sans Mono&quot;"/>
    </font>
    <font>
      <sz val="12"/>
      <color rgb="FF000000"/>
      <name val="Arial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  <fill>
      <patternFill patternType="solid">
        <fgColor rgb="FFEA9999"/>
        <bgColor rgb="FFEA9999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CC4125"/>
        <bgColor rgb="FFCC4125"/>
      </patternFill>
    </fill>
    <fill>
      <patternFill patternType="solid">
        <fgColor rgb="FFCC0000"/>
        <bgColor rgb="FFCC0000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F6B26B"/>
        <bgColor rgb="FFF6B2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2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4" fillId="8" borderId="0" xfId="0" applyFont="1" applyFill="1"/>
    <xf numFmtId="0" fontId="2" fillId="8" borderId="0" xfId="0" applyFont="1" applyFill="1"/>
    <xf numFmtId="0" fontId="3" fillId="10" borderId="0" xfId="0" applyFont="1" applyFill="1"/>
    <xf numFmtId="0" fontId="3" fillId="11" borderId="0" xfId="0" applyFont="1" applyFill="1"/>
    <xf numFmtId="0" fontId="5" fillId="12" borderId="0" xfId="0" applyFont="1" applyFill="1"/>
    <xf numFmtId="0" fontId="5" fillId="2" borderId="0" xfId="0" applyFont="1" applyFill="1"/>
    <xf numFmtId="0" fontId="6" fillId="13" borderId="0" xfId="0" applyFont="1" applyFill="1" applyAlignment="1">
      <alignment wrapText="1"/>
    </xf>
    <xf numFmtId="0" fontId="5" fillId="14" borderId="0" xfId="0" applyFont="1" applyFill="1"/>
    <xf numFmtId="0" fontId="2" fillId="15" borderId="0" xfId="0" applyFont="1" applyFill="1"/>
    <xf numFmtId="0" fontId="5" fillId="0" borderId="0" xfId="0" applyFont="1"/>
    <xf numFmtId="0" fontId="5" fillId="5" borderId="0" xfId="0" applyFont="1" applyFill="1"/>
    <xf numFmtId="0" fontId="5" fillId="16" borderId="0" xfId="0" applyFont="1" applyFill="1"/>
    <xf numFmtId="0" fontId="5" fillId="6" borderId="0" xfId="0" applyFont="1" applyFill="1"/>
    <xf numFmtId="0" fontId="5" fillId="17" borderId="0" xfId="0" applyFont="1" applyFill="1"/>
    <xf numFmtId="0" fontId="5" fillId="18" borderId="0" xfId="0" applyFont="1" applyFill="1"/>
    <xf numFmtId="0" fontId="5" fillId="3" borderId="0" xfId="0" applyFont="1" applyFill="1"/>
    <xf numFmtId="0" fontId="5" fillId="19" borderId="0" xfId="0" applyFont="1" applyFill="1"/>
    <xf numFmtId="0" fontId="5" fillId="4" borderId="0" xfId="0" applyFont="1" applyFill="1"/>
    <xf numFmtId="0" fontId="5" fillId="20" borderId="0" xfId="0" applyFont="1" applyFill="1"/>
    <xf numFmtId="0" fontId="5" fillId="21" borderId="0" xfId="0" applyFont="1" applyFill="1"/>
    <xf numFmtId="0" fontId="5" fillId="11" borderId="0" xfId="0" applyFont="1" applyFill="1"/>
    <xf numFmtId="0" fontId="5" fillId="22" borderId="0" xfId="0" applyFont="1" applyFill="1"/>
    <xf numFmtId="0" fontId="2" fillId="22" borderId="0" xfId="0" applyFont="1" applyFill="1"/>
    <xf numFmtId="0" fontId="5" fillId="23" borderId="0" xfId="0" applyFont="1" applyFill="1"/>
    <xf numFmtId="0" fontId="7" fillId="24" borderId="0" xfId="0" applyFont="1" applyFill="1"/>
    <xf numFmtId="0" fontId="5" fillId="10" borderId="0" xfId="0" applyFont="1" applyFill="1"/>
    <xf numFmtId="9" fontId="5" fillId="10" borderId="0" xfId="0" applyNumberFormat="1" applyFont="1" applyFill="1"/>
    <xf numFmtId="0" fontId="5" fillId="24" borderId="0" xfId="0" applyFont="1" applyFill="1"/>
    <xf numFmtId="9" fontId="5" fillId="3" borderId="0" xfId="0" applyNumberFormat="1" applyFont="1" applyFill="1"/>
    <xf numFmtId="0" fontId="5" fillId="25" borderId="0" xfId="0" applyFont="1" applyFill="1"/>
    <xf numFmtId="0" fontId="5" fillId="26" borderId="0" xfId="0" applyFont="1" applyFill="1"/>
    <xf numFmtId="0" fontId="5" fillId="27" borderId="0" xfId="0" applyFont="1" applyFill="1"/>
    <xf numFmtId="0" fontId="5" fillId="28" borderId="0" xfId="0" applyFont="1" applyFill="1"/>
    <xf numFmtId="0" fontId="5" fillId="29" borderId="0" xfId="0" applyFont="1" applyFill="1"/>
    <xf numFmtId="0" fontId="5" fillId="30" borderId="0" xfId="0" applyFont="1" applyFill="1"/>
    <xf numFmtId="0" fontId="5" fillId="31" borderId="0" xfId="0" applyFont="1" applyFill="1"/>
    <xf numFmtId="0" fontId="2" fillId="2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L22"/>
  <sheetViews>
    <sheetView tabSelected="1" workbookViewId="0">
      <selection activeCell="F3" sqref="F3"/>
    </sheetView>
  </sheetViews>
  <sheetFormatPr defaultColWidth="12.6640625" defaultRowHeight="15.75" customHeight="1"/>
  <cols>
    <col min="2" max="2" width="18.88671875" customWidth="1"/>
    <col min="3" max="3" width="16.109375" customWidth="1"/>
    <col min="4" max="4" width="7.6640625" customWidth="1"/>
    <col min="5" max="5" width="11.77734375" customWidth="1"/>
    <col min="6" max="6" width="18.88671875" customWidth="1"/>
  </cols>
  <sheetData>
    <row r="3" spans="2:12" ht="15.75" customHeight="1">
      <c r="D3" s="1"/>
      <c r="E3" s="1" t="s">
        <v>0</v>
      </c>
      <c r="F3" s="1"/>
      <c r="G3" s="1" t="s">
        <v>1</v>
      </c>
      <c r="H3" s="1"/>
      <c r="I3" s="1"/>
      <c r="J3" s="2"/>
      <c r="K3" s="2"/>
      <c r="L3" s="2"/>
    </row>
    <row r="6" spans="2:12" ht="15.75" customHeight="1">
      <c r="B6" s="3" t="s">
        <v>2</v>
      </c>
      <c r="C6" s="3" t="s">
        <v>3</v>
      </c>
      <c r="D6" s="3"/>
      <c r="E6" s="3" t="s">
        <v>4</v>
      </c>
      <c r="F6" s="3" t="s">
        <v>5</v>
      </c>
      <c r="G6" s="3"/>
      <c r="H6" s="3"/>
      <c r="I6" s="3"/>
      <c r="J6" s="4"/>
      <c r="K6" s="4"/>
    </row>
    <row r="8" spans="2:12" ht="15.75" customHeight="1">
      <c r="C8" s="5" t="s">
        <v>6</v>
      </c>
      <c r="D8" s="5" t="s">
        <v>7</v>
      </c>
    </row>
    <row r="9" spans="2:12" ht="15.75" customHeight="1">
      <c r="C9" s="6" t="s">
        <v>8</v>
      </c>
      <c r="D9" s="6">
        <v>45</v>
      </c>
    </row>
    <row r="10" spans="2:12" ht="15.75" customHeight="1">
      <c r="C10" s="6" t="s">
        <v>9</v>
      </c>
      <c r="D10" s="6">
        <v>72</v>
      </c>
    </row>
    <row r="11" spans="2:12" ht="15.75" customHeight="1">
      <c r="C11" s="6" t="s">
        <v>10</v>
      </c>
      <c r="D11" s="6">
        <v>55</v>
      </c>
    </row>
    <row r="12" spans="2:12" ht="15.75" customHeight="1">
      <c r="C12" s="6" t="s">
        <v>11</v>
      </c>
      <c r="D12" s="6">
        <v>80</v>
      </c>
    </row>
    <row r="13" spans="2:12" ht="15.75" customHeight="1">
      <c r="C13" s="6" t="s">
        <v>12</v>
      </c>
      <c r="D13" s="6">
        <v>30</v>
      </c>
    </row>
    <row r="15" spans="2:12" ht="15.75" customHeight="1">
      <c r="B15" s="7" t="s">
        <v>13</v>
      </c>
    </row>
    <row r="17" spans="3:11" ht="15.75" customHeight="1">
      <c r="C17" s="5" t="s">
        <v>6</v>
      </c>
      <c r="D17" s="5" t="s">
        <v>7</v>
      </c>
      <c r="E17" s="8" t="s">
        <v>14</v>
      </c>
    </row>
    <row r="18" spans="3:11" ht="15.75" customHeight="1">
      <c r="C18" s="6" t="s">
        <v>8</v>
      </c>
      <c r="D18" s="6">
        <v>45</v>
      </c>
      <c r="E18" s="9" t="str">
        <f t="shared" ref="E18:E22" si="0">IF(D18&gt;=40,"Pass","Fail")</f>
        <v>Pass</v>
      </c>
      <c r="H18" s="10" t="s">
        <v>15</v>
      </c>
      <c r="I18" s="10"/>
      <c r="J18" s="10"/>
      <c r="K18" s="10"/>
    </row>
    <row r="19" spans="3:11" ht="15.75" customHeight="1">
      <c r="C19" s="6" t="s">
        <v>9</v>
      </c>
      <c r="D19" s="6">
        <v>72</v>
      </c>
      <c r="E19" s="9" t="str">
        <f t="shared" si="0"/>
        <v>Pass</v>
      </c>
    </row>
    <row r="20" spans="3:11" ht="15.75" customHeight="1">
      <c r="C20" s="6" t="s">
        <v>10</v>
      </c>
      <c r="D20" s="6">
        <v>55</v>
      </c>
      <c r="E20" s="9" t="str">
        <f t="shared" si="0"/>
        <v>Pass</v>
      </c>
    </row>
    <row r="21" spans="3:11" ht="15.75" customHeight="1">
      <c r="C21" s="6" t="s">
        <v>11</v>
      </c>
      <c r="D21" s="6">
        <v>80</v>
      </c>
      <c r="E21" s="9" t="str">
        <f t="shared" si="0"/>
        <v>Pass</v>
      </c>
    </row>
    <row r="22" spans="3:11" ht="15.75" customHeight="1">
      <c r="C22" s="6" t="s">
        <v>12</v>
      </c>
      <c r="D22" s="6">
        <v>30</v>
      </c>
      <c r="E22" s="9" t="str">
        <f t="shared" si="0"/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5:P20"/>
  <sheetViews>
    <sheetView workbookViewId="0"/>
  </sheetViews>
  <sheetFormatPr defaultColWidth="12.6640625" defaultRowHeight="15.75" customHeight="1"/>
  <cols>
    <col min="1" max="1" width="5.21875" customWidth="1"/>
    <col min="2" max="2" width="14.21875" customWidth="1"/>
    <col min="6" max="6" width="15" customWidth="1"/>
    <col min="9" max="9" width="15.109375" customWidth="1"/>
  </cols>
  <sheetData>
    <row r="5" spans="2:16" ht="15.75" customHeight="1">
      <c r="B5" s="11" t="s">
        <v>16</v>
      </c>
      <c r="C5" s="11" t="s">
        <v>17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2"/>
      <c r="P5" s="12"/>
    </row>
    <row r="8" spans="2:16" ht="15.75" customHeight="1">
      <c r="C8" s="13" t="s">
        <v>18</v>
      </c>
      <c r="D8" s="13" t="s">
        <v>19</v>
      </c>
      <c r="E8" s="13" t="s">
        <v>20</v>
      </c>
    </row>
    <row r="9" spans="2:16" ht="15.75" customHeight="1">
      <c r="C9" s="14" t="s">
        <v>21</v>
      </c>
      <c r="D9" s="14">
        <v>55000</v>
      </c>
      <c r="E9" s="14">
        <v>95</v>
      </c>
    </row>
    <row r="10" spans="2:16" ht="15.75" customHeight="1">
      <c r="C10" s="14" t="s">
        <v>22</v>
      </c>
      <c r="D10" s="14">
        <v>65000</v>
      </c>
      <c r="E10" s="14">
        <v>85</v>
      </c>
    </row>
    <row r="11" spans="2:16" ht="15.75" customHeight="1">
      <c r="C11" s="14" t="s">
        <v>23</v>
      </c>
      <c r="D11" s="14">
        <v>30000</v>
      </c>
      <c r="E11" s="14">
        <v>90</v>
      </c>
    </row>
    <row r="12" spans="2:16" ht="15.75" customHeight="1">
      <c r="C12" s="14" t="s">
        <v>24</v>
      </c>
      <c r="D12" s="14">
        <v>25000</v>
      </c>
      <c r="E12" s="14">
        <v>65</v>
      </c>
    </row>
    <row r="14" spans="2:16">
      <c r="B14" s="15" t="s">
        <v>25</v>
      </c>
    </row>
    <row r="16" spans="2:16" ht="15.75" customHeight="1">
      <c r="C16" s="13" t="s">
        <v>18</v>
      </c>
      <c r="D16" s="13" t="s">
        <v>19</v>
      </c>
      <c r="E16" s="13" t="s">
        <v>20</v>
      </c>
      <c r="F16" s="16" t="s">
        <v>14</v>
      </c>
      <c r="K16" s="17"/>
    </row>
    <row r="17" spans="3:13" ht="15.75" customHeight="1">
      <c r="C17" s="14" t="s">
        <v>21</v>
      </c>
      <c r="D17" s="14">
        <v>55000</v>
      </c>
      <c r="E17" s="14">
        <v>95</v>
      </c>
      <c r="F17" s="18" t="str">
        <f t="shared" ref="F17:F20" si="0">IF(AND(D17&gt;40000,E17&gt;90),"Bonus Awarded","No Bonus")</f>
        <v>Bonus Awarded</v>
      </c>
      <c r="J17" s="19"/>
      <c r="K17" s="19"/>
      <c r="L17" s="19"/>
      <c r="M17" s="19"/>
    </row>
    <row r="18" spans="3:13" ht="15.75" customHeight="1">
      <c r="C18" s="14" t="s">
        <v>22</v>
      </c>
      <c r="D18" s="14">
        <v>65000</v>
      </c>
      <c r="E18" s="14">
        <v>85</v>
      </c>
      <c r="F18" s="18" t="str">
        <f t="shared" si="0"/>
        <v>No Bonus</v>
      </c>
      <c r="J18" s="19"/>
      <c r="K18" s="19"/>
      <c r="L18" s="19"/>
      <c r="M18" s="19"/>
    </row>
    <row r="19" spans="3:13" ht="15.75" customHeight="1">
      <c r="C19" s="14" t="s">
        <v>23</v>
      </c>
      <c r="D19" s="14">
        <v>30000</v>
      </c>
      <c r="E19" s="14">
        <v>90</v>
      </c>
      <c r="F19" s="18" t="str">
        <f t="shared" si="0"/>
        <v>No Bonus</v>
      </c>
      <c r="J19" s="17"/>
    </row>
    <row r="20" spans="3:13" ht="15.75" customHeight="1">
      <c r="C20" s="14" t="s">
        <v>24</v>
      </c>
      <c r="D20" s="14">
        <v>25000</v>
      </c>
      <c r="E20" s="14">
        <v>65</v>
      </c>
      <c r="F20" s="18" t="str">
        <f t="shared" si="0"/>
        <v>No Bonus</v>
      </c>
      <c r="J2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5:G26"/>
  <sheetViews>
    <sheetView workbookViewId="0"/>
  </sheetViews>
  <sheetFormatPr defaultColWidth="12.6640625" defaultRowHeight="15.75" customHeight="1"/>
  <cols>
    <col min="2" max="2" width="13.77734375" customWidth="1"/>
    <col min="3" max="3" width="13.88671875" customWidth="1"/>
    <col min="4" max="4" width="10.6640625" customWidth="1"/>
  </cols>
  <sheetData>
    <row r="5" spans="1:7">
      <c r="A5" s="20"/>
      <c r="B5" s="20"/>
      <c r="C5" s="20"/>
      <c r="D5" s="20"/>
      <c r="E5" s="20"/>
      <c r="F5" s="20"/>
      <c r="G5" s="20"/>
    </row>
    <row r="6" spans="1:7">
      <c r="A6" s="20"/>
      <c r="B6" s="21" t="s">
        <v>26</v>
      </c>
      <c r="C6" s="22" t="s">
        <v>27</v>
      </c>
      <c r="D6" s="22"/>
      <c r="E6" s="22"/>
      <c r="F6" s="22"/>
      <c r="G6" s="22"/>
    </row>
    <row r="7" spans="1:7">
      <c r="A7" s="20"/>
      <c r="B7" s="20"/>
      <c r="C7" s="22" t="s">
        <v>28</v>
      </c>
      <c r="D7" s="22"/>
      <c r="E7" s="22"/>
      <c r="F7" s="22"/>
      <c r="G7" s="22"/>
    </row>
    <row r="8" spans="1:7">
      <c r="A8" s="20"/>
      <c r="B8" s="20"/>
      <c r="C8" s="20"/>
      <c r="D8" s="20"/>
      <c r="E8" s="20"/>
      <c r="F8" s="20"/>
      <c r="G8" s="20"/>
    </row>
    <row r="9" spans="1:7">
      <c r="A9" s="20"/>
      <c r="B9" s="20"/>
      <c r="C9" s="23" t="s">
        <v>6</v>
      </c>
      <c r="D9" s="23" t="s">
        <v>7</v>
      </c>
      <c r="E9" s="20"/>
      <c r="F9" s="20"/>
      <c r="G9" s="20"/>
    </row>
    <row r="10" spans="1:7">
      <c r="A10" s="20"/>
      <c r="B10" s="20"/>
      <c r="C10" s="24" t="s">
        <v>29</v>
      </c>
      <c r="D10" s="24">
        <v>85</v>
      </c>
      <c r="E10" s="20"/>
      <c r="F10" s="20"/>
      <c r="G10" s="20"/>
    </row>
    <row r="11" spans="1:7">
      <c r="A11" s="20"/>
      <c r="B11" s="20"/>
      <c r="C11" s="24" t="s">
        <v>30</v>
      </c>
      <c r="D11" s="24">
        <v>96</v>
      </c>
      <c r="E11" s="20"/>
      <c r="F11" s="20"/>
      <c r="G11" s="20"/>
    </row>
    <row r="12" spans="1:7">
      <c r="A12" s="20"/>
      <c r="B12" s="20"/>
      <c r="C12" s="24" t="s">
        <v>31</v>
      </c>
      <c r="D12" s="24">
        <v>57</v>
      </c>
      <c r="E12" s="20"/>
      <c r="F12" s="20"/>
      <c r="G12" s="20"/>
    </row>
    <row r="13" spans="1:7">
      <c r="A13" s="20"/>
      <c r="B13" s="20"/>
      <c r="C13" s="24" t="s">
        <v>32</v>
      </c>
      <c r="D13" s="24">
        <v>92</v>
      </c>
      <c r="E13" s="20"/>
      <c r="F13" s="20"/>
      <c r="G13" s="20"/>
    </row>
    <row r="14" spans="1:7">
      <c r="A14" s="20"/>
      <c r="B14" s="20"/>
      <c r="C14" s="24" t="s">
        <v>33</v>
      </c>
      <c r="D14" s="24">
        <v>75</v>
      </c>
      <c r="E14" s="20"/>
      <c r="F14" s="20"/>
      <c r="G14" s="20"/>
    </row>
    <row r="15" spans="1:7">
      <c r="A15" s="20"/>
      <c r="B15" s="20"/>
      <c r="C15" s="20"/>
      <c r="D15" s="20"/>
      <c r="E15" s="20"/>
      <c r="F15" s="20"/>
      <c r="G15" s="20"/>
    </row>
    <row r="16" spans="1:7">
      <c r="A16" s="20"/>
      <c r="B16" s="18" t="s">
        <v>25</v>
      </c>
      <c r="C16" s="20"/>
      <c r="D16" s="20"/>
      <c r="E16" s="20"/>
      <c r="F16" s="20"/>
      <c r="G16" s="20"/>
    </row>
    <row r="17" spans="1:7">
      <c r="A17" s="20"/>
      <c r="B17" s="20"/>
      <c r="C17" s="20"/>
      <c r="D17" s="20"/>
      <c r="E17" s="20"/>
      <c r="F17" s="20"/>
      <c r="G17" s="20"/>
    </row>
    <row r="18" spans="1:7">
      <c r="A18" s="20"/>
      <c r="B18" s="20"/>
      <c r="C18" s="23" t="s">
        <v>6</v>
      </c>
      <c r="D18" s="23" t="s">
        <v>7</v>
      </c>
      <c r="E18" s="25" t="s">
        <v>14</v>
      </c>
      <c r="F18" s="20"/>
      <c r="G18" s="20"/>
    </row>
    <row r="19" spans="1:7">
      <c r="A19" s="20"/>
      <c r="B19" s="20"/>
      <c r="C19" s="24" t="s">
        <v>29</v>
      </c>
      <c r="D19" s="24">
        <v>85</v>
      </c>
      <c r="E19" s="26" t="str">
        <f t="shared" ref="E19:E23" si="0">IF(D19&gt;=90,"A",IF(D19&gt;=75,"B",IF(D19&gt;=50,"C","Fail")))</f>
        <v>B</v>
      </c>
      <c r="F19" s="20"/>
      <c r="G19" s="20"/>
    </row>
    <row r="20" spans="1:7">
      <c r="A20" s="20"/>
      <c r="B20" s="20"/>
      <c r="C20" s="24" t="s">
        <v>30</v>
      </c>
      <c r="D20" s="24">
        <v>96</v>
      </c>
      <c r="E20" s="26" t="str">
        <f t="shared" si="0"/>
        <v>A</v>
      </c>
      <c r="F20" s="20"/>
      <c r="G20" s="20"/>
    </row>
    <row r="21" spans="1:7">
      <c r="A21" s="20"/>
      <c r="B21" s="20"/>
      <c r="C21" s="24" t="s">
        <v>31</v>
      </c>
      <c r="D21" s="24">
        <v>57</v>
      </c>
      <c r="E21" s="26" t="str">
        <f t="shared" si="0"/>
        <v>C</v>
      </c>
      <c r="F21" s="20"/>
      <c r="G21" s="20"/>
    </row>
    <row r="22" spans="1:7">
      <c r="A22" s="20"/>
      <c r="B22" s="20"/>
      <c r="C22" s="24" t="s">
        <v>32</v>
      </c>
      <c r="D22" s="24">
        <v>92</v>
      </c>
      <c r="E22" s="26" t="str">
        <f t="shared" si="0"/>
        <v>A</v>
      </c>
      <c r="F22" s="20"/>
      <c r="G22" s="20"/>
    </row>
    <row r="23" spans="1:7">
      <c r="A23" s="20"/>
      <c r="B23" s="20"/>
      <c r="C23" s="24" t="s">
        <v>33</v>
      </c>
      <c r="D23" s="24">
        <v>75</v>
      </c>
      <c r="E23" s="26" t="str">
        <f t="shared" si="0"/>
        <v>B</v>
      </c>
      <c r="F23" s="20"/>
      <c r="G23" s="20"/>
    </row>
    <row r="24" spans="1:7">
      <c r="A24" s="20"/>
      <c r="B24" s="20"/>
      <c r="C24" s="20"/>
      <c r="D24" s="20"/>
      <c r="E24" s="20"/>
      <c r="F24" s="20"/>
      <c r="G24" s="20"/>
    </row>
    <row r="25" spans="1:7">
      <c r="A25" s="20"/>
      <c r="B25" s="20"/>
      <c r="C25" s="20"/>
      <c r="D25" s="20"/>
      <c r="E25" s="20"/>
      <c r="F25" s="20"/>
      <c r="G25" s="20"/>
    </row>
    <row r="26" spans="1:7">
      <c r="A26" s="20"/>
      <c r="B26" s="20"/>
      <c r="C26" s="20"/>
      <c r="D26" s="20"/>
      <c r="E26" s="20"/>
      <c r="F26" s="20"/>
      <c r="G26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4:P27"/>
  <sheetViews>
    <sheetView workbookViewId="0"/>
  </sheetViews>
  <sheetFormatPr defaultColWidth="12.6640625" defaultRowHeight="15.75" customHeight="1"/>
  <cols>
    <col min="1" max="1" width="2.33203125" customWidth="1"/>
    <col min="3" max="3" width="18.33203125" customWidth="1"/>
  </cols>
  <sheetData>
    <row r="4" spans="1:1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>
      <c r="A5" s="20"/>
      <c r="B5" s="18" t="s">
        <v>34</v>
      </c>
      <c r="C5" s="27" t="s">
        <v>35</v>
      </c>
      <c r="D5" s="27"/>
      <c r="E5" s="27"/>
      <c r="F5" s="27"/>
      <c r="G5" s="27"/>
      <c r="H5" s="27"/>
      <c r="I5" s="27"/>
      <c r="J5" s="20"/>
      <c r="K5" s="20"/>
      <c r="L5" s="20"/>
      <c r="M5" s="20"/>
      <c r="N5" s="20"/>
    </row>
    <row r="6" spans="1:14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>
      <c r="A8" s="20"/>
      <c r="B8" s="20"/>
      <c r="C8" s="28" t="s">
        <v>36</v>
      </c>
      <c r="D8" s="28" t="s">
        <v>37</v>
      </c>
      <c r="E8" s="28" t="s">
        <v>38</v>
      </c>
      <c r="F8" s="20"/>
      <c r="G8" s="20"/>
      <c r="H8" s="20"/>
      <c r="I8" s="20"/>
      <c r="J8" s="20"/>
      <c r="K8" s="20"/>
      <c r="L8" s="20"/>
      <c r="M8" s="20"/>
      <c r="N8" s="20"/>
    </row>
    <row r="9" spans="1:14">
      <c r="A9" s="20"/>
      <c r="B9" s="20"/>
      <c r="C9" s="26" t="s">
        <v>39</v>
      </c>
      <c r="D9" s="26" t="s">
        <v>10</v>
      </c>
      <c r="E9" s="26" t="s">
        <v>40</v>
      </c>
      <c r="F9" s="20"/>
      <c r="G9" s="20"/>
      <c r="H9" s="20"/>
      <c r="I9" s="20"/>
      <c r="J9" s="20"/>
      <c r="K9" s="20"/>
      <c r="L9" s="20"/>
      <c r="M9" s="20"/>
      <c r="N9" s="20"/>
    </row>
    <row r="10" spans="1:14">
      <c r="A10" s="20"/>
      <c r="B10" s="20"/>
      <c r="C10" s="26" t="s">
        <v>41</v>
      </c>
      <c r="D10" s="26" t="s">
        <v>8</v>
      </c>
      <c r="E10" s="26" t="s">
        <v>42</v>
      </c>
      <c r="F10" s="20"/>
      <c r="G10" s="20"/>
      <c r="H10" s="20"/>
      <c r="I10" s="20"/>
      <c r="J10" s="20"/>
      <c r="K10" s="20"/>
      <c r="L10" s="20"/>
      <c r="M10" s="20"/>
      <c r="N10" s="20"/>
    </row>
    <row r="11" spans="1:14">
      <c r="A11" s="20"/>
      <c r="B11" s="20"/>
      <c r="C11" s="26" t="s">
        <v>43</v>
      </c>
      <c r="D11" s="26" t="s">
        <v>44</v>
      </c>
      <c r="E11" s="26" t="s">
        <v>45</v>
      </c>
      <c r="F11" s="20"/>
      <c r="G11" s="20"/>
      <c r="H11" s="20"/>
      <c r="I11" s="20"/>
      <c r="J11" s="20"/>
      <c r="K11" s="20"/>
      <c r="L11" s="20"/>
      <c r="M11" s="20"/>
      <c r="N11" s="20"/>
    </row>
    <row r="12" spans="1:14">
      <c r="A12" s="20"/>
      <c r="B12" s="20"/>
      <c r="C12" s="26" t="s">
        <v>46</v>
      </c>
      <c r="D12" s="26" t="s">
        <v>47</v>
      </c>
      <c r="E12" s="26" t="s">
        <v>48</v>
      </c>
      <c r="F12" s="20"/>
      <c r="G12" s="20"/>
      <c r="H12" s="20"/>
      <c r="I12" s="20"/>
      <c r="J12" s="20"/>
      <c r="K12" s="20"/>
      <c r="L12" s="20"/>
      <c r="M12" s="20"/>
      <c r="N12" s="20"/>
    </row>
    <row r="13" spans="1:14">
      <c r="A13" s="20"/>
      <c r="B13" s="2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>
      <c r="A14" s="20"/>
      <c r="B14" s="30" t="s">
        <v>25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>
      <c r="A16" s="20"/>
      <c r="B16" s="20"/>
      <c r="C16" s="28" t="s">
        <v>36</v>
      </c>
      <c r="D16" s="28" t="s">
        <v>37</v>
      </c>
      <c r="E16" s="28" t="s">
        <v>38</v>
      </c>
      <c r="F16" s="20"/>
      <c r="G16" s="20"/>
      <c r="H16" s="20"/>
      <c r="I16" s="20"/>
      <c r="J16" s="20"/>
      <c r="K16" s="20"/>
      <c r="L16" s="20"/>
      <c r="M16" s="20"/>
      <c r="N16" s="20"/>
    </row>
    <row r="17" spans="1:16">
      <c r="A17" s="20"/>
      <c r="B17" s="20"/>
      <c r="C17" s="26" t="s">
        <v>39</v>
      </c>
      <c r="D17" s="26" t="s">
        <v>10</v>
      </c>
      <c r="E17" s="26" t="s">
        <v>40</v>
      </c>
      <c r="F17" s="20"/>
      <c r="G17" s="20"/>
      <c r="H17" s="20"/>
      <c r="I17" s="20"/>
      <c r="J17" s="20"/>
      <c r="K17" s="20"/>
      <c r="L17" s="20"/>
      <c r="M17" s="20"/>
      <c r="N17" s="20"/>
    </row>
    <row r="18" spans="1:16">
      <c r="A18" s="20"/>
      <c r="B18" s="20"/>
      <c r="C18" s="26" t="s">
        <v>41</v>
      </c>
      <c r="D18" s="26" t="s">
        <v>8</v>
      </c>
      <c r="E18" s="26" t="s">
        <v>42</v>
      </c>
      <c r="F18" s="20"/>
      <c r="G18" s="31" t="s">
        <v>49</v>
      </c>
      <c r="H18" s="31" t="str">
        <f>VLOOKUP("E103",C17:E20,3,FALSE)</f>
        <v>Finance</v>
      </c>
      <c r="I18" s="20"/>
      <c r="J18" s="20"/>
      <c r="K18" s="20"/>
      <c r="L18" s="20"/>
      <c r="M18" s="20"/>
      <c r="N18" s="20"/>
    </row>
    <row r="19" spans="1:16">
      <c r="A19" s="20"/>
      <c r="B19" s="20"/>
      <c r="C19" s="26" t="s">
        <v>43</v>
      </c>
      <c r="D19" s="26" t="s">
        <v>44</v>
      </c>
      <c r="E19" s="26" t="s">
        <v>45</v>
      </c>
      <c r="F19" s="20"/>
      <c r="G19" s="20"/>
      <c r="H19" s="20"/>
      <c r="I19" s="20"/>
      <c r="J19" s="20"/>
      <c r="K19" s="20"/>
      <c r="L19" s="20"/>
      <c r="M19" s="20"/>
      <c r="N19" s="20"/>
    </row>
    <row r="20" spans="1:16">
      <c r="A20" s="20"/>
      <c r="B20" s="20"/>
      <c r="C20" s="26" t="s">
        <v>46</v>
      </c>
      <c r="D20" s="26" t="s">
        <v>47</v>
      </c>
      <c r="E20" s="26" t="s">
        <v>48</v>
      </c>
      <c r="F20" s="20"/>
      <c r="G20" s="20"/>
      <c r="H20" s="20"/>
      <c r="I20" s="20"/>
      <c r="J20" s="20"/>
      <c r="K20" s="20"/>
      <c r="L20" s="20"/>
      <c r="M20" s="20"/>
      <c r="N20" s="20"/>
    </row>
    <row r="21" spans="1:16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6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spans="1:16">
      <c r="A23" s="20"/>
      <c r="B23" s="20"/>
      <c r="C23" s="22" t="s">
        <v>50</v>
      </c>
      <c r="D23" s="32" t="s">
        <v>51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3"/>
      <c r="P23" s="33"/>
    </row>
    <row r="24" spans="1:16">
      <c r="A24" s="20"/>
      <c r="B24" s="20"/>
      <c r="C24" s="20"/>
      <c r="D24" s="32" t="s">
        <v>52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  <c r="P24" s="33"/>
    </row>
    <row r="25" spans="1:16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6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4:J22"/>
  <sheetViews>
    <sheetView workbookViewId="0"/>
  </sheetViews>
  <sheetFormatPr defaultColWidth="12.6640625" defaultRowHeight="15.75" customHeight="1"/>
  <cols>
    <col min="4" max="4" width="18.6640625" customWidth="1"/>
  </cols>
  <sheetData>
    <row r="4" spans="2:10">
      <c r="B4" s="20"/>
      <c r="C4" s="20"/>
      <c r="D4" s="20"/>
      <c r="E4" s="20"/>
      <c r="F4" s="20"/>
      <c r="G4" s="20"/>
      <c r="H4" s="20"/>
      <c r="I4" s="20"/>
      <c r="J4" s="20"/>
    </row>
    <row r="5" spans="2:10">
      <c r="B5" s="20"/>
      <c r="C5" s="34" t="s">
        <v>53</v>
      </c>
      <c r="D5" s="22" t="s">
        <v>54</v>
      </c>
      <c r="E5" s="22"/>
      <c r="F5" s="22"/>
      <c r="G5" s="22"/>
      <c r="H5" s="22"/>
      <c r="I5" s="20"/>
      <c r="J5" s="20"/>
    </row>
    <row r="6" spans="2:10">
      <c r="B6" s="20"/>
      <c r="C6" s="20"/>
      <c r="D6" s="20"/>
      <c r="E6" s="20"/>
      <c r="F6" s="20"/>
      <c r="G6" s="20"/>
      <c r="H6" s="20"/>
      <c r="I6" s="20"/>
      <c r="J6" s="20"/>
    </row>
    <row r="7" spans="2:10">
      <c r="B7" s="20"/>
      <c r="C7" s="20"/>
      <c r="D7" s="35" t="s">
        <v>55</v>
      </c>
      <c r="E7" s="35" t="s">
        <v>56</v>
      </c>
      <c r="F7" s="35"/>
      <c r="G7" s="20"/>
      <c r="H7" s="20"/>
      <c r="I7" s="20"/>
      <c r="J7" s="20"/>
    </row>
    <row r="8" spans="2:10">
      <c r="B8" s="20"/>
      <c r="C8" s="20"/>
      <c r="D8" s="36">
        <v>0</v>
      </c>
      <c r="E8" s="37">
        <v>0.05</v>
      </c>
      <c r="F8" s="36"/>
      <c r="G8" s="20"/>
      <c r="H8" s="20"/>
      <c r="I8" s="20"/>
      <c r="J8" s="20"/>
    </row>
    <row r="9" spans="2:10">
      <c r="B9" s="20"/>
      <c r="C9" s="20"/>
      <c r="D9" s="36">
        <v>20000</v>
      </c>
      <c r="E9" s="37">
        <v>0.1</v>
      </c>
      <c r="F9" s="36"/>
      <c r="G9" s="20"/>
      <c r="H9" s="20"/>
      <c r="I9" s="20"/>
      <c r="J9" s="20"/>
    </row>
    <row r="10" spans="2:10">
      <c r="B10" s="20"/>
      <c r="C10" s="20"/>
      <c r="D10" s="36">
        <v>50000</v>
      </c>
      <c r="E10" s="37">
        <v>0.15</v>
      </c>
      <c r="F10" s="36"/>
      <c r="G10" s="20"/>
      <c r="H10" s="20"/>
      <c r="I10" s="20"/>
      <c r="J10" s="20"/>
    </row>
    <row r="11" spans="2:10">
      <c r="B11" s="20"/>
      <c r="C11" s="20"/>
      <c r="D11" s="36">
        <v>80000</v>
      </c>
      <c r="E11" s="37">
        <v>0.2</v>
      </c>
      <c r="F11" s="36"/>
      <c r="G11" s="20"/>
      <c r="H11" s="20"/>
      <c r="I11" s="20"/>
      <c r="J11" s="20"/>
    </row>
    <row r="12" spans="2:10">
      <c r="B12" s="20"/>
      <c r="C12" s="20"/>
      <c r="D12" s="20"/>
      <c r="E12" s="20"/>
      <c r="F12" s="20"/>
      <c r="G12" s="20"/>
      <c r="H12" s="20"/>
      <c r="I12" s="20"/>
      <c r="J12" s="20"/>
    </row>
    <row r="13" spans="2:10">
      <c r="B13" s="20"/>
      <c r="C13" s="20"/>
      <c r="D13" s="28" t="s">
        <v>57</v>
      </c>
      <c r="E13" s="28"/>
      <c r="F13" s="28"/>
      <c r="G13" s="28"/>
      <c r="H13" s="28"/>
      <c r="I13" s="28"/>
      <c r="J13" s="28"/>
    </row>
    <row r="14" spans="2:10">
      <c r="B14" s="20"/>
      <c r="C14" s="20"/>
      <c r="D14" s="28" t="s">
        <v>58</v>
      </c>
      <c r="E14" s="28"/>
      <c r="F14" s="28"/>
      <c r="G14" s="28"/>
      <c r="H14" s="28"/>
      <c r="I14" s="28"/>
      <c r="J14" s="28"/>
    </row>
    <row r="15" spans="2:10">
      <c r="B15" s="20"/>
      <c r="C15" s="20"/>
      <c r="D15" s="20"/>
      <c r="E15" s="20"/>
      <c r="F15" s="20"/>
      <c r="G15" s="20"/>
      <c r="H15" s="20"/>
      <c r="I15" s="20"/>
      <c r="J15" s="20"/>
    </row>
    <row r="16" spans="2:10">
      <c r="B16" s="20"/>
      <c r="C16" s="38" t="s">
        <v>25</v>
      </c>
      <c r="D16" s="20"/>
      <c r="E16" s="20"/>
      <c r="F16" s="20"/>
      <c r="G16" s="20"/>
      <c r="H16" s="20"/>
      <c r="I16" s="20"/>
      <c r="J16" s="20"/>
    </row>
    <row r="17" spans="2:10">
      <c r="B17" s="20"/>
      <c r="C17" s="20"/>
      <c r="D17" s="20"/>
      <c r="E17" s="20"/>
      <c r="F17" s="20"/>
      <c r="G17" s="20"/>
      <c r="H17" s="20"/>
      <c r="I17" s="20"/>
      <c r="J17" s="20"/>
    </row>
    <row r="18" spans="2:10">
      <c r="B18" s="20"/>
      <c r="C18" s="20"/>
      <c r="D18" s="31" t="s">
        <v>55</v>
      </c>
      <c r="E18" s="31">
        <v>45000</v>
      </c>
      <c r="F18" s="20"/>
      <c r="G18" s="20"/>
      <c r="H18" s="20"/>
      <c r="I18" s="20"/>
      <c r="J18" s="20"/>
    </row>
    <row r="19" spans="2:10">
      <c r="B19" s="20"/>
      <c r="C19" s="20"/>
      <c r="D19" s="26" t="s">
        <v>56</v>
      </c>
      <c r="E19" s="39">
        <f>VLOOKUP(E18,D8:E11,2,TRUE)</f>
        <v>0.1</v>
      </c>
      <c r="F19" s="20"/>
      <c r="G19" s="20"/>
      <c r="H19" s="20"/>
      <c r="I19" s="20"/>
      <c r="J19" s="20"/>
    </row>
    <row r="20" spans="2:10">
      <c r="B20" s="20"/>
      <c r="C20" s="20"/>
      <c r="D20" s="20"/>
      <c r="E20" s="20"/>
      <c r="F20" s="20"/>
      <c r="G20" s="20"/>
      <c r="H20" s="20"/>
      <c r="I20" s="20"/>
      <c r="J20" s="20"/>
    </row>
    <row r="21" spans="2:10">
      <c r="B21" s="20"/>
      <c r="C21" s="20"/>
      <c r="D21" s="32" t="s">
        <v>50</v>
      </c>
      <c r="E21" s="32" t="s">
        <v>59</v>
      </c>
      <c r="F21" s="32"/>
      <c r="G21" s="32"/>
      <c r="H21" s="32"/>
      <c r="I21" s="32"/>
      <c r="J21" s="32"/>
    </row>
    <row r="22" spans="2:10">
      <c r="B22" s="20"/>
      <c r="C22" s="20"/>
      <c r="D22" s="20"/>
      <c r="E22" s="20"/>
      <c r="F22" s="20"/>
      <c r="G22" s="20"/>
      <c r="H22" s="20"/>
      <c r="I22" s="20"/>
      <c r="J22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J22"/>
  <sheetViews>
    <sheetView workbookViewId="0"/>
  </sheetViews>
  <sheetFormatPr defaultColWidth="12.6640625" defaultRowHeight="15.75" customHeight="1"/>
  <cols>
    <col min="4" max="5" width="14.77734375" customWidth="1"/>
    <col min="6" max="6" width="15" customWidth="1"/>
  </cols>
  <sheetData>
    <row r="2" spans="2:10">
      <c r="B2" s="20"/>
      <c r="C2" s="20"/>
      <c r="D2" s="20"/>
      <c r="E2" s="20"/>
      <c r="F2" s="20"/>
      <c r="G2" s="20"/>
      <c r="H2" s="20"/>
      <c r="I2" s="20"/>
    </row>
    <row r="3" spans="2:10">
      <c r="B3" s="20"/>
      <c r="C3" s="20"/>
      <c r="D3" s="20"/>
      <c r="E3" s="20"/>
      <c r="F3" s="20"/>
      <c r="G3" s="20"/>
      <c r="H3" s="20"/>
      <c r="I3" s="20"/>
    </row>
    <row r="4" spans="2:10">
      <c r="B4" s="20"/>
      <c r="C4" s="20"/>
      <c r="D4" s="20"/>
      <c r="E4" s="20"/>
      <c r="F4" s="20"/>
      <c r="G4" s="20"/>
      <c r="H4" s="20"/>
      <c r="I4" s="20"/>
    </row>
    <row r="5" spans="2:10">
      <c r="B5" s="20"/>
      <c r="C5" s="38" t="s">
        <v>60</v>
      </c>
      <c r="D5" s="40" t="s">
        <v>61</v>
      </c>
      <c r="E5" s="40"/>
      <c r="F5" s="40"/>
      <c r="G5" s="40"/>
      <c r="H5" s="40"/>
      <c r="I5" s="40"/>
    </row>
    <row r="6" spans="2:10">
      <c r="B6" s="20"/>
      <c r="C6" s="20"/>
      <c r="D6" s="20"/>
      <c r="E6" s="20"/>
      <c r="F6" s="20"/>
      <c r="G6" s="20"/>
      <c r="H6" s="20"/>
      <c r="I6" s="20"/>
    </row>
    <row r="7" spans="2:10">
      <c r="B7" s="20"/>
      <c r="C7" s="20"/>
      <c r="D7" s="41" t="s">
        <v>62</v>
      </c>
      <c r="E7" s="41" t="s">
        <v>63</v>
      </c>
      <c r="F7" s="41" t="s">
        <v>64</v>
      </c>
      <c r="G7" s="20"/>
      <c r="H7" s="20"/>
      <c r="I7" s="20"/>
    </row>
    <row r="8" spans="2:10">
      <c r="B8" s="20"/>
      <c r="C8" s="20"/>
      <c r="D8" s="36" t="s">
        <v>65</v>
      </c>
      <c r="E8" s="36">
        <v>10</v>
      </c>
      <c r="F8" s="36">
        <v>12</v>
      </c>
      <c r="G8" s="20"/>
      <c r="H8" s="20"/>
      <c r="I8" s="20"/>
    </row>
    <row r="9" spans="2:10">
      <c r="B9" s="20"/>
      <c r="C9" s="20"/>
      <c r="D9" s="36" t="s">
        <v>66</v>
      </c>
      <c r="E9" s="36">
        <v>10</v>
      </c>
      <c r="F9" s="36">
        <v>15</v>
      </c>
      <c r="G9" s="20"/>
      <c r="H9" s="20"/>
      <c r="I9" s="20"/>
    </row>
    <row r="10" spans="2:10">
      <c r="B10" s="20"/>
      <c r="C10" s="20"/>
      <c r="D10" s="36" t="s">
        <v>67</v>
      </c>
      <c r="E10" s="36">
        <v>8</v>
      </c>
      <c r="F10" s="36">
        <v>12</v>
      </c>
      <c r="G10" s="20"/>
      <c r="H10" s="20"/>
      <c r="I10" s="20"/>
    </row>
    <row r="11" spans="2:10">
      <c r="B11" s="20"/>
      <c r="C11" s="20"/>
      <c r="D11" s="20"/>
      <c r="E11" s="20"/>
      <c r="F11" s="20"/>
      <c r="G11" s="20"/>
      <c r="H11" s="20"/>
      <c r="I11" s="20"/>
    </row>
    <row r="12" spans="2:10">
      <c r="B12" s="20"/>
      <c r="C12" s="20"/>
      <c r="D12" s="32" t="s">
        <v>68</v>
      </c>
      <c r="E12" s="32"/>
      <c r="F12" s="32"/>
      <c r="G12" s="32"/>
      <c r="H12" s="32"/>
      <c r="I12" s="32"/>
      <c r="J12" s="33"/>
    </row>
    <row r="13" spans="2:10">
      <c r="B13" s="20"/>
      <c r="C13" s="20"/>
      <c r="D13" s="32" t="s">
        <v>69</v>
      </c>
      <c r="E13" s="32"/>
      <c r="F13" s="32"/>
      <c r="G13" s="32"/>
      <c r="H13" s="32"/>
      <c r="I13" s="32"/>
      <c r="J13" s="33"/>
    </row>
    <row r="14" spans="2:10">
      <c r="B14" s="20"/>
      <c r="C14" s="20"/>
      <c r="D14" s="32" t="s">
        <v>70</v>
      </c>
      <c r="E14" s="32"/>
      <c r="F14" s="32"/>
      <c r="G14" s="32"/>
      <c r="H14" s="32"/>
      <c r="I14" s="32"/>
      <c r="J14" s="33"/>
    </row>
    <row r="15" spans="2:10">
      <c r="B15" s="20"/>
      <c r="C15" s="20"/>
      <c r="D15" s="20"/>
      <c r="E15" s="20"/>
      <c r="F15" s="20"/>
      <c r="G15" s="20"/>
      <c r="H15" s="20"/>
      <c r="I15" s="20"/>
    </row>
    <row r="16" spans="2:10">
      <c r="B16" s="20"/>
      <c r="C16" s="36" t="s">
        <v>25</v>
      </c>
      <c r="D16" s="20"/>
      <c r="E16" s="20"/>
      <c r="F16" s="20"/>
      <c r="G16" s="20"/>
      <c r="H16" s="20"/>
      <c r="I16" s="20"/>
    </row>
    <row r="17" spans="2:9">
      <c r="B17" s="20"/>
      <c r="C17" s="20"/>
      <c r="D17" s="40" t="s">
        <v>62</v>
      </c>
      <c r="E17" s="40" t="s">
        <v>63</v>
      </c>
      <c r="F17" s="40" t="s">
        <v>64</v>
      </c>
      <c r="G17" s="42" t="s">
        <v>14</v>
      </c>
      <c r="H17" s="20"/>
      <c r="I17" s="20"/>
    </row>
    <row r="18" spans="2:9">
      <c r="B18" s="20"/>
      <c r="C18" s="20"/>
      <c r="D18" s="36" t="s">
        <v>65</v>
      </c>
      <c r="E18" s="36">
        <v>10</v>
      </c>
      <c r="F18" s="36">
        <v>12</v>
      </c>
      <c r="G18" s="31" t="str">
        <f t="shared" ref="G18:G20" si="0">IF(E18&gt;F18,"Exceeded","OK")</f>
        <v>OK</v>
      </c>
      <c r="H18" s="20"/>
      <c r="I18" s="20"/>
    </row>
    <row r="19" spans="2:9">
      <c r="B19" s="20"/>
      <c r="C19" s="20"/>
      <c r="D19" s="36" t="s">
        <v>66</v>
      </c>
      <c r="E19" s="36">
        <v>10</v>
      </c>
      <c r="F19" s="36">
        <v>15</v>
      </c>
      <c r="G19" s="31" t="str">
        <f t="shared" si="0"/>
        <v>OK</v>
      </c>
      <c r="H19" s="20"/>
      <c r="I19" s="20"/>
    </row>
    <row r="20" spans="2:9">
      <c r="B20" s="20"/>
      <c r="C20" s="20"/>
      <c r="D20" s="36" t="s">
        <v>67</v>
      </c>
      <c r="E20" s="36">
        <v>8</v>
      </c>
      <c r="F20" s="36">
        <v>12</v>
      </c>
      <c r="G20" s="31" t="str">
        <f t="shared" si="0"/>
        <v>OK</v>
      </c>
      <c r="H20" s="20"/>
      <c r="I20" s="20"/>
    </row>
    <row r="21" spans="2:9">
      <c r="B21" s="20"/>
      <c r="C21" s="20"/>
      <c r="D21" s="20"/>
      <c r="E21" s="20"/>
      <c r="F21" s="20"/>
      <c r="G21" s="20"/>
      <c r="H21" s="20"/>
      <c r="I21" s="20"/>
    </row>
    <row r="22" spans="2:9">
      <c r="B22" s="20"/>
      <c r="C22" s="20"/>
      <c r="D22" s="20"/>
      <c r="E22" s="20"/>
      <c r="F22" s="20"/>
      <c r="G22" s="20"/>
      <c r="H22" s="20"/>
      <c r="I22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4:H21"/>
  <sheetViews>
    <sheetView workbookViewId="0"/>
  </sheetViews>
  <sheetFormatPr defaultColWidth="12.6640625" defaultRowHeight="15.75" customHeight="1"/>
  <sheetData>
    <row r="4" spans="2:8">
      <c r="B4" s="20"/>
      <c r="C4" s="20"/>
      <c r="D4" s="20"/>
      <c r="E4" s="20"/>
      <c r="F4" s="20"/>
      <c r="G4" s="20"/>
    </row>
    <row r="5" spans="2:8">
      <c r="B5" s="20"/>
      <c r="C5" s="43" t="s">
        <v>71</v>
      </c>
      <c r="D5" s="16" t="s">
        <v>72</v>
      </c>
      <c r="E5" s="16"/>
      <c r="F5" s="16"/>
      <c r="G5" s="16"/>
      <c r="H5" s="2"/>
    </row>
    <row r="6" spans="2:8">
      <c r="B6" s="20"/>
      <c r="C6" s="20"/>
      <c r="D6" s="20"/>
      <c r="E6" s="20"/>
      <c r="F6" s="20"/>
      <c r="G6" s="20"/>
    </row>
    <row r="7" spans="2:8">
      <c r="B7" s="20"/>
      <c r="C7" s="20"/>
      <c r="D7" s="44" t="s">
        <v>73</v>
      </c>
      <c r="E7" s="44" t="s">
        <v>74</v>
      </c>
      <c r="F7" s="20"/>
      <c r="G7" s="20"/>
    </row>
    <row r="8" spans="2:8">
      <c r="B8" s="20"/>
      <c r="C8" s="20"/>
      <c r="D8" s="45" t="s">
        <v>46</v>
      </c>
      <c r="E8" s="45">
        <v>55000</v>
      </c>
      <c r="F8" s="20"/>
      <c r="G8" s="20"/>
    </row>
    <row r="9" spans="2:8">
      <c r="B9" s="20"/>
      <c r="C9" s="20"/>
      <c r="D9" s="45" t="s">
        <v>75</v>
      </c>
      <c r="E9" s="45">
        <v>72000</v>
      </c>
      <c r="F9" s="20"/>
      <c r="G9" s="20"/>
    </row>
    <row r="10" spans="2:8">
      <c r="B10" s="20"/>
      <c r="C10" s="20"/>
      <c r="D10" s="45" t="s">
        <v>76</v>
      </c>
      <c r="E10" s="45">
        <v>62000</v>
      </c>
      <c r="F10" s="20"/>
      <c r="G10" s="20"/>
    </row>
    <row r="11" spans="2:8">
      <c r="B11" s="20"/>
      <c r="C11" s="20"/>
      <c r="D11" s="45" t="s">
        <v>41</v>
      </c>
      <c r="E11" s="45">
        <v>41000</v>
      </c>
      <c r="F11" s="20"/>
      <c r="G11" s="20"/>
    </row>
    <row r="12" spans="2:8">
      <c r="B12" s="20"/>
      <c r="C12" s="20"/>
      <c r="D12" s="20"/>
      <c r="E12" s="20"/>
      <c r="F12" s="20"/>
      <c r="G12" s="20"/>
    </row>
    <row r="13" spans="2:8">
      <c r="B13" s="20"/>
      <c r="C13" s="21" t="s">
        <v>25</v>
      </c>
      <c r="D13" s="20"/>
      <c r="E13" s="20"/>
      <c r="F13" s="20"/>
      <c r="G13" s="20"/>
    </row>
    <row r="14" spans="2:8">
      <c r="B14" s="20"/>
      <c r="C14" s="20"/>
      <c r="D14" s="46" t="s">
        <v>73</v>
      </c>
      <c r="E14" s="46" t="s">
        <v>74</v>
      </c>
      <c r="F14" s="20"/>
      <c r="G14" s="20"/>
    </row>
    <row r="15" spans="2:8">
      <c r="B15" s="20"/>
      <c r="C15" s="20"/>
      <c r="D15" s="26" t="s">
        <v>75</v>
      </c>
      <c r="E15" s="26">
        <f t="array" ref="E15">INDEX(E8:E11,MATCH(D15,D8:D11,0))</f>
        <v>72000</v>
      </c>
      <c r="F15" s="20"/>
      <c r="G15" s="20"/>
    </row>
    <row r="16" spans="2:8">
      <c r="B16" s="20"/>
      <c r="C16" s="20"/>
      <c r="D16" s="20"/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20"/>
      <c r="C18" s="20"/>
      <c r="D18" s="20"/>
      <c r="E18" s="20"/>
      <c r="F18" s="20"/>
      <c r="G18" s="20"/>
    </row>
    <row r="19" spans="2:7">
      <c r="B19" s="20"/>
      <c r="C19" s="20"/>
      <c r="D19" s="20"/>
      <c r="E19" s="20"/>
      <c r="F19" s="20"/>
      <c r="G19" s="20"/>
    </row>
    <row r="20" spans="2:7">
      <c r="B20" s="20"/>
      <c r="C20" s="20"/>
      <c r="D20" s="20"/>
      <c r="E20" s="20"/>
      <c r="F20" s="20"/>
      <c r="G20" s="20"/>
    </row>
    <row r="21" spans="2:7">
      <c r="B21" s="20"/>
      <c r="C21" s="20"/>
      <c r="D21" s="20"/>
      <c r="E21" s="20"/>
      <c r="F21" s="20"/>
      <c r="G21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3:I19"/>
  <sheetViews>
    <sheetView workbookViewId="0"/>
  </sheetViews>
  <sheetFormatPr defaultColWidth="12.6640625" defaultRowHeight="15.75" customHeight="1"/>
  <sheetData>
    <row r="3" spans="1:9">
      <c r="A3" s="20"/>
      <c r="B3" s="20"/>
      <c r="C3" s="20"/>
      <c r="D3" s="20"/>
      <c r="E3" s="20"/>
      <c r="F3" s="20"/>
      <c r="G3" s="20"/>
      <c r="H3" s="20"/>
    </row>
    <row r="4" spans="1:9">
      <c r="A4" s="20"/>
      <c r="B4" s="20"/>
      <c r="C4" s="20"/>
      <c r="D4" s="20"/>
      <c r="E4" s="20"/>
      <c r="F4" s="20"/>
      <c r="G4" s="20"/>
      <c r="H4" s="20"/>
    </row>
    <row r="5" spans="1:9">
      <c r="A5" s="20"/>
      <c r="B5" s="34" t="s">
        <v>77</v>
      </c>
      <c r="C5" s="38" t="s">
        <v>78</v>
      </c>
      <c r="D5" s="38"/>
      <c r="E5" s="38"/>
      <c r="F5" s="38"/>
      <c r="G5" s="38"/>
      <c r="H5" s="38"/>
      <c r="I5" s="47"/>
    </row>
    <row r="6" spans="1:9">
      <c r="A6" s="20"/>
      <c r="B6" s="20"/>
      <c r="C6" s="20"/>
      <c r="D6" s="20"/>
      <c r="E6" s="20"/>
      <c r="F6" s="20"/>
      <c r="G6" s="20"/>
      <c r="H6" s="20"/>
    </row>
    <row r="7" spans="1:9">
      <c r="A7" s="20"/>
      <c r="B7" s="20"/>
      <c r="C7" s="40" t="s">
        <v>73</v>
      </c>
      <c r="D7" s="40" t="s">
        <v>38</v>
      </c>
      <c r="E7" s="20"/>
      <c r="F7" s="20"/>
      <c r="G7" s="20"/>
      <c r="H7" s="20"/>
    </row>
    <row r="8" spans="1:9">
      <c r="A8" s="20"/>
      <c r="B8" s="20"/>
      <c r="C8" s="41" t="s">
        <v>39</v>
      </c>
      <c r="D8" s="41" t="s">
        <v>42</v>
      </c>
      <c r="E8" s="20"/>
      <c r="F8" s="20"/>
      <c r="G8" s="20"/>
      <c r="H8" s="20"/>
    </row>
    <row r="9" spans="1:9">
      <c r="A9" s="20"/>
      <c r="B9" s="20"/>
      <c r="C9" s="41" t="s">
        <v>79</v>
      </c>
      <c r="D9" s="41" t="s">
        <v>40</v>
      </c>
      <c r="E9" s="20"/>
      <c r="F9" s="20"/>
      <c r="G9" s="20"/>
      <c r="H9" s="20"/>
    </row>
    <row r="10" spans="1:9">
      <c r="A10" s="20"/>
      <c r="B10" s="20"/>
      <c r="C10" s="41" t="s">
        <v>76</v>
      </c>
      <c r="D10" s="41" t="s">
        <v>19</v>
      </c>
      <c r="E10" s="20"/>
      <c r="F10" s="20"/>
      <c r="G10" s="20"/>
      <c r="H10" s="20"/>
    </row>
    <row r="11" spans="1:9">
      <c r="A11" s="20"/>
      <c r="B11" s="20"/>
      <c r="C11" s="41" t="s">
        <v>80</v>
      </c>
      <c r="D11" s="41" t="s">
        <v>45</v>
      </c>
      <c r="E11" s="20"/>
      <c r="F11" s="20"/>
      <c r="G11" s="20"/>
      <c r="H11" s="20"/>
    </row>
    <row r="12" spans="1:9">
      <c r="A12" s="20"/>
      <c r="B12" s="20"/>
      <c r="C12" s="20"/>
      <c r="D12" s="20"/>
      <c r="E12" s="20"/>
      <c r="F12" s="20"/>
      <c r="G12" s="20"/>
      <c r="H12" s="20"/>
    </row>
    <row r="13" spans="1:9">
      <c r="A13" s="20"/>
      <c r="B13" s="28" t="s">
        <v>25</v>
      </c>
      <c r="C13" s="20"/>
      <c r="D13" s="20"/>
      <c r="E13" s="20"/>
      <c r="F13" s="20"/>
      <c r="G13" s="20"/>
      <c r="H13" s="20"/>
    </row>
    <row r="14" spans="1:9">
      <c r="A14" s="20"/>
      <c r="B14" s="20"/>
      <c r="C14" s="20"/>
      <c r="D14" s="20"/>
      <c r="E14" s="20"/>
      <c r="F14" s="20"/>
      <c r="G14" s="20"/>
      <c r="H14" s="20"/>
    </row>
    <row r="15" spans="1:9">
      <c r="A15" s="20"/>
      <c r="B15" s="20"/>
      <c r="C15" s="26" t="s">
        <v>73</v>
      </c>
      <c r="D15" s="26" t="s">
        <v>38</v>
      </c>
      <c r="E15" s="20"/>
      <c r="F15" s="20"/>
      <c r="G15" s="20"/>
      <c r="H15" s="20"/>
    </row>
    <row r="16" spans="1:9">
      <c r="A16" s="20"/>
      <c r="B16" s="20"/>
      <c r="C16" s="31" t="s">
        <v>79</v>
      </c>
      <c r="D16" s="31" t="e">
        <f t="array" aca="1" ref="D16" ca="1">XLOOKUP(C16,C8:C11,D8:D11)</f>
        <v>#NAME?</v>
      </c>
      <c r="E16" s="20"/>
      <c r="F16" s="20"/>
      <c r="G16" s="20"/>
      <c r="H16" s="20"/>
    </row>
    <row r="17" spans="1:8">
      <c r="A17" s="20"/>
      <c r="B17" s="20"/>
      <c r="C17" s="20"/>
      <c r="D17" s="20"/>
      <c r="E17" s="20"/>
      <c r="F17" s="20"/>
      <c r="G17" s="20"/>
      <c r="H17" s="20"/>
    </row>
    <row r="18" spans="1:8">
      <c r="A18" s="20"/>
      <c r="B18" s="20"/>
      <c r="C18" s="20"/>
      <c r="D18" s="20"/>
      <c r="E18" s="20"/>
      <c r="F18" s="20"/>
      <c r="G18" s="20"/>
      <c r="H18" s="20"/>
    </row>
    <row r="19" spans="1:8">
      <c r="A19" s="20"/>
      <c r="B19" s="20"/>
      <c r="C19" s="20"/>
      <c r="D19" s="20"/>
      <c r="E19" s="20"/>
      <c r="F19" s="20"/>
      <c r="G19" s="20"/>
      <c r="H1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nehal agrawal</cp:lastModifiedBy>
  <dcterms:modified xsi:type="dcterms:W3CDTF">2025-12-19T10:44:33Z</dcterms:modified>
</cp:coreProperties>
</file>